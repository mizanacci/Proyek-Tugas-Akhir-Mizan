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isi Sumber" sheetId="1" state="visible" r:id="rId3"/>
    <sheet name="Sisi Beba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<sst xmlns="http://schemas.openxmlformats.org/spreadsheetml/2006/main" count="34" uniqueCount="18">
  <si>
    <t xml:space="preserve">Kalibrasi ZMPT101B — Sisi Sumber</t>
  </si>
  <si>
    <t xml:space="preserve">Tugas Akhir SCADA Distribusi Listrik — Almar'u Zaim Mizan (04231006)</t>
  </si>
  <si>
    <t xml:space="preserve">Isi kolom B (tegangan disetel), C (tegangan aktual multimeter), dan D (RMS ADC mentah) untuk tiap titik uji. Kolom E dan F terisi otomatis dari hasil regresi di bawah.</t>
  </si>
  <si>
    <t xml:space="preserve">No.</t>
  </si>
  <si>
    <t xml:space="preserve">Tegangan Disetel (V)</t>
  </si>
  <si>
    <t xml:space="preserve">Tegangan Aktual - Multimeter (V)</t>
  </si>
  <si>
    <t xml:space="preserve">RMS ADC Mentah (rata-rata)</t>
  </si>
  <si>
    <t xml:space="preserve">V Prediksi (V)</t>
  </si>
  <si>
    <t xml:space="preserve">Error (%)</t>
  </si>
  <si>
    <t xml:space="preserve">Baris 1 adalah contoh nilai — hapus/timpa dengan data pengukuran nyata Anda.</t>
  </si>
  <si>
    <t xml:space="preserve">Hasil Regresi Linear (Least-Square)</t>
  </si>
  <si>
    <t xml:space="preserve">a (gain)</t>
  </si>
  <si>
    <t xml:space="preserve">b (offset)</t>
  </si>
  <si>
    <t xml:space="preserve">R² (kecocokan)</t>
  </si>
  <si>
    <t xml:space="preserve">Error rata-rata (%)</t>
  </si>
  <si>
    <t xml:space="preserve">Error maksimum (%)</t>
  </si>
  <si>
    <t xml:space="preserve">Legenda: kuning = isi manual dari pengukuran Anda. Putih = terisi otomatis (formula/contoh).</t>
  </si>
  <si>
    <t xml:space="preserve">Kalibrasi ZMPT101B — Sisi Beban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</si>
</sst>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0.000000"/>
    <numFmt numFmtId="167" formatCode="0.00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AAAAAA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6" min="2" style="1" width="22"/>
  </cols>
  <sheetData>
    <row r="1" customFormat="false" ht="15.7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</row>
    <row r="3" customFormat="false" ht="27.75" hidden="false" customHeight="true" outlineLevel="0" collapsed="false">
      <c r="A3" s="4" t="s">
        <v>2</v>
      </c>
      <c r="B3" s="4"/>
      <c r="C3" s="4"/>
      <c r="D3" s="4"/>
      <c r="E3" s="4"/>
      <c r="F3" s="4"/>
    </row>
    <row r="5" customFormat="false" ht="31.5" hidden="false" customHeight="tru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</row>
    <row r="6" customFormat="false" ht="15" hidden="false" customHeight="true" outlineLevel="0" collapsed="false">
      <c r="A6" s="6" t="n">
        <v>1</v>
      </c>
      <c r="B6" s="7" t="n">
        <v>220</v>
      </c>
      <c r="C6" s="7" t="n">
        <v>219.4</v>
      </c>
      <c r="D6" s="7" t="n">
        <v>1850</v>
      </c>
      <c r="E6" s="8" t="str">
        <f aca="false">IFERROR(IF(D6="","",$B$18*D6+$B$19),"")</f>
        <v/>
      </c>
      <c r="F6" s="8" t="str">
        <f aca="false">IFERROR(IF(OR(D6="",C6=""),"",ABS(E6-C6)/C6*100),"")</f>
        <v/>
      </c>
    </row>
    <row r="7" customFormat="false" ht="15" hidden="false" customHeight="true" outlineLevel="0" collapsed="false">
      <c r="A7" s="6" t="n">
        <v>2</v>
      </c>
      <c r="B7" s="9"/>
      <c r="C7" s="9"/>
      <c r="D7" s="9"/>
      <c r="E7" s="8" t="str">
        <f aca="false">IFERROR(IF(D7="","",$B$18*D7+$B$19),"")</f>
        <v/>
      </c>
      <c r="F7" s="8" t="str">
        <f aca="false">IFERROR(IF(OR(D7="",C7=""),"",ABS(E7-C7)/C7*100),"")</f>
        <v/>
      </c>
    </row>
    <row r="8" customFormat="false" ht="15" hidden="false" customHeight="true" outlineLevel="0" collapsed="false">
      <c r="A8" s="6" t="n">
        <v>3</v>
      </c>
      <c r="B8" s="9"/>
      <c r="C8" s="9"/>
      <c r="D8" s="9"/>
      <c r="E8" s="8" t="str">
        <f aca="false">IFERROR(IF(D8="","",$B$18*D8+$B$19),"")</f>
        <v/>
      </c>
      <c r="F8" s="8" t="str">
        <f aca="false">IFERROR(IF(OR(D8="",C8=""),"",ABS(E8-C8)/C8*100),"")</f>
        <v/>
      </c>
    </row>
    <row r="9" customFormat="false" ht="15" hidden="false" customHeight="true" outlineLevel="0" collapsed="false">
      <c r="A9" s="6" t="n">
        <v>4</v>
      </c>
      <c r="B9" s="9"/>
      <c r="C9" s="9"/>
      <c r="D9" s="9"/>
      <c r="E9" s="8" t="str">
        <f aca="false">IFERROR(IF(D9="","",$B$18*D9+$B$19),"")</f>
        <v/>
      </c>
      <c r="F9" s="8" t="str">
        <f aca="false">IFERROR(IF(OR(D9="",C9=""),"",ABS(E9-C9)/C9*100),"")</f>
        <v/>
      </c>
    </row>
    <row r="10" customFormat="false" ht="15" hidden="false" customHeight="true" outlineLevel="0" collapsed="false">
      <c r="A10" s="6" t="n">
        <v>5</v>
      </c>
      <c r="B10" s="9"/>
      <c r="C10" s="9"/>
      <c r="D10" s="9"/>
      <c r="E10" s="8" t="str">
        <f aca="false">IFERROR(IF(D10="","",$B$18*D10+$B$19),"")</f>
        <v/>
      </c>
      <c r="F10" s="8" t="str">
        <f aca="false">IFERROR(IF(OR(D10="",C10=""),"",ABS(E10-C10)/C10*100),"")</f>
        <v/>
      </c>
    </row>
    <row r="11" customFormat="false" ht="15" hidden="false" customHeight="true" outlineLevel="0" collapsed="false">
      <c r="A11" s="6" t="n">
        <v>6</v>
      </c>
      <c r="B11" s="9"/>
      <c r="C11" s="9"/>
      <c r="D11" s="9"/>
      <c r="E11" s="8" t="str">
        <f aca="false">IFERROR(IF(D11="","",$B$18*D11+$B$19),"")</f>
        <v/>
      </c>
      <c r="F11" s="8" t="str">
        <f aca="false">IFERROR(IF(OR(D11="",C11=""),"",ABS(E11-C11)/C11*100),"")</f>
        <v/>
      </c>
    </row>
    <row r="12" customFormat="false" ht="15" hidden="false" customHeight="true" outlineLevel="0" collapsed="false">
      <c r="A12" s="6" t="n">
        <v>7</v>
      </c>
      <c r="B12" s="9"/>
      <c r="C12" s="9"/>
      <c r="D12" s="9"/>
      <c r="E12" s="8" t="str">
        <f aca="false">IFERROR(IF(D12="","",$B$18*D12+$B$19),"")</f>
        <v/>
      </c>
      <c r="F12" s="8" t="str">
        <f aca="false">IFERROR(IF(OR(D12="",C12=""),"",ABS(E12-C12)/C12*100),"")</f>
        <v/>
      </c>
    </row>
    <row r="13" customFormat="false" ht="15" hidden="false" customHeight="true" outlineLevel="0" collapsed="false">
      <c r="A13" s="6" t="n">
        <v>8</v>
      </c>
      <c r="B13" s="9"/>
      <c r="C13" s="9"/>
      <c r="D13" s="9"/>
      <c r="E13" s="8" t="str">
        <f aca="false">IFERROR(IF(D13="","",$B$18*D13+$B$19),"")</f>
        <v/>
      </c>
      <c r="F13" s="8" t="str">
        <f aca="false">IFERROR(IF(OR(D13="",C13=""),"",ABS(E13-C13)/C13*100),"")</f>
        <v/>
      </c>
    </row>
    <row r="14" customFormat="false" ht="15" hidden="false" customHeight="true" outlineLevel="0" collapsed="false">
      <c r="A14" s="6" t="n">
        <v>9</v>
      </c>
      <c r="B14" s="9"/>
      <c r="C14" s="9"/>
      <c r="D14" s="9"/>
      <c r="E14" s="8" t="str">
        <f aca="false">IFERROR(IF(D14="","",$B$18*D14+$B$19),"")</f>
        <v/>
      </c>
      <c r="F14" s="8" t="str">
        <f aca="false">IFERROR(IF(OR(D14="",C14=""),"",ABS(E14-C14)/C14*100),"")</f>
        <v/>
      </c>
    </row>
    <row r="15" customFormat="false" ht="15" hidden="false" customHeight="true" outlineLevel="0" collapsed="false">
      <c r="A15" s="6" t="n">
        <v>10</v>
      </c>
      <c r="B15" s="9"/>
      <c r="C15" s="9"/>
      <c r="D15" s="9"/>
      <c r="E15" s="8" t="str">
        <f aca="false">IFERROR(IF(D15="","",$B$18*D15+$B$19),"")</f>
        <v/>
      </c>
      <c r="F15" s="8" t="str">
        <f aca="false">IFERROR(IF(OR(D15="",C15=""),"",ABS(E15-C15)/C15*100),"")</f>
        <v/>
      </c>
    </row>
    <row r="16" customFormat="false" ht="15" hidden="false" customHeight="true" outlineLevel="0" collapsed="false">
      <c r="A16" s="3" t="s">
        <v>9</v>
      </c>
      <c r="B16" s="3"/>
      <c r="C16" s="3"/>
      <c r="D16" s="3"/>
      <c r="E16" s="3"/>
      <c r="F16" s="3"/>
    </row>
    <row r="17" customFormat="false" ht="15" hidden="false" customHeight="true" outlineLevel="0" collapsed="false">
      <c r="A17" s="10" t="s">
        <v>10</v>
      </c>
      <c r="B17" s="10"/>
    </row>
    <row r="18" customFormat="false" ht="15" hidden="false" customHeight="true" outlineLevel="0" collapsed="false">
      <c r="A18" s="11" t="s">
        <v>11</v>
      </c>
      <c r="B18" s="12" t="str">
        <f aca="false">IFERROR(SLOPE(C6:C15,D6:D15),"(perlu ≥2 titik data)")</f>
        <v>(perlu ≥2 titik data)</v>
      </c>
    </row>
    <row r="19" customFormat="false" ht="15" hidden="false" customHeight="true" outlineLevel="0" collapsed="false">
      <c r="A19" s="11" t="s">
        <v>12</v>
      </c>
      <c r="B19" s="12" t="str">
        <f aca="false">IFERROR(INTERCEPT(C6:C15,D6:D15),"(perlu ≥2 titik data)")</f>
        <v>(perlu ≥2 titik data)</v>
      </c>
    </row>
    <row r="20" customFormat="false" ht="15" hidden="false" customHeight="true" outlineLevel="0" collapsed="false">
      <c r="A20" s="11" t="s">
        <v>13</v>
      </c>
      <c r="B20" s="13" t="str">
        <f aca="false">IFERROR(RSQ(C6:C15,D6:D15),"(perlu ≥2 titik data)")</f>
        <v>(perlu ≥2 titik data)</v>
      </c>
    </row>
    <row r="21" customFormat="false" ht="15" hidden="false" customHeight="true" outlineLevel="0" collapsed="false">
      <c r="A21" s="11" t="s">
        <v>14</v>
      </c>
      <c r="B21" s="14" t="str">
        <f aca="false">IFERROR(AVERAGE(F6:F15),"(belum ada data)")</f>
        <v>(belum ada data)</v>
      </c>
    </row>
    <row r="22" customFormat="false" ht="15" hidden="false" customHeight="true" outlineLevel="0" collapsed="false">
      <c r="A22" s="11" t="s">
        <v>15</v>
      </c>
      <c r="B22" s="14" t="n">
        <f aca="false">IFERROR(MAX(F6:F15),"(belum ada data)")</f>
        <v>0</v>
      </c>
    </row>
    <row r="24" customFormat="false" ht="15" hidden="false" customHeight="true" outlineLevel="0" collapsed="false">
      <c r="A24" s="3" t="s">
        <v>16</v>
      </c>
      <c r="B24" s="3"/>
      <c r="C24" s="3"/>
      <c r="D24" s="3"/>
      <c r="E24" s="3"/>
      <c r="F24" s="3"/>
    </row>
  </sheetData>
  <mergeCells count="6">
    <mergeCell ref="A1:F1"/>
    <mergeCell ref="A2:F2"/>
    <mergeCell ref="A3:F3"/>
    <mergeCell ref="A16:F16"/>
    <mergeCell ref="A17:B17"/>
    <mergeCell ref="A24:F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6" min="2" style="1" width="22"/>
  </cols>
  <sheetData>
    <row r="1" customFormat="false" ht="15.75" hidden="false" customHeight="true" outlineLevel="0" collapsed="false">
      <c r="A1" s="2" t="s">
        <v>17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</row>
    <row r="3" customFormat="false" ht="27.75" hidden="false" customHeight="true" outlineLevel="0" collapsed="false">
      <c r="A3" s="4" t="s">
        <v>2</v>
      </c>
      <c r="B3" s="4"/>
      <c r="C3" s="4"/>
      <c r="D3" s="4"/>
      <c r="E3" s="4"/>
      <c r="F3" s="4"/>
    </row>
    <row r="5" customFormat="false" ht="31.5" hidden="false" customHeight="tru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</row>
    <row r="6" customFormat="false" ht="15" hidden="false" customHeight="true" outlineLevel="0" collapsed="false">
      <c r="A6" s="6" t="n">
        <v>1</v>
      </c>
      <c r="B6" s="7" t="n">
        <v>220</v>
      </c>
      <c r="C6" s="7" t="n">
        <v>219.4</v>
      </c>
      <c r="D6" s="7" t="n">
        <v>1850</v>
      </c>
      <c r="E6" s="8" t="str">
        <f aca="false">IFERROR(IF(D6="","",$B$18*D6+$B$19),"")</f>
        <v/>
      </c>
      <c r="F6" s="8" t="str">
        <f aca="false">IFERROR(IF(OR(D6="",C6=""),"",ABS(E6-C6)/C6*100),"")</f>
        <v/>
      </c>
    </row>
    <row r="7" customFormat="false" ht="15" hidden="false" customHeight="true" outlineLevel="0" collapsed="false">
      <c r="A7" s="6" t="n">
        <v>2</v>
      </c>
      <c r="B7" s="9"/>
      <c r="C7" s="9"/>
      <c r="D7" s="9"/>
      <c r="E7" s="8" t="str">
        <f aca="false">IFERROR(IF(D7="","",$B$18*D7+$B$19),"")</f>
        <v/>
      </c>
      <c r="F7" s="8" t="str">
        <f aca="false">IFERROR(IF(OR(D7="",C7=""),"",ABS(E7-C7)/C7*100),"")</f>
        <v/>
      </c>
    </row>
    <row r="8" customFormat="false" ht="15" hidden="false" customHeight="true" outlineLevel="0" collapsed="false">
      <c r="A8" s="6" t="n">
        <v>3</v>
      </c>
      <c r="B8" s="9"/>
      <c r="C8" s="9"/>
      <c r="D8" s="9"/>
      <c r="E8" s="8" t="str">
        <f aca="false">IFERROR(IF(D8="","",$B$18*D8+$B$19),"")</f>
        <v/>
      </c>
      <c r="F8" s="8" t="str">
        <f aca="false">IFERROR(IF(OR(D8="",C8=""),"",ABS(E8-C8)/C8*100),"")</f>
        <v/>
      </c>
    </row>
    <row r="9" customFormat="false" ht="15" hidden="false" customHeight="true" outlineLevel="0" collapsed="false">
      <c r="A9" s="6" t="n">
        <v>4</v>
      </c>
      <c r="B9" s="9"/>
      <c r="C9" s="9"/>
      <c r="D9" s="9"/>
      <c r="E9" s="8" t="str">
        <f aca="false">IFERROR(IF(D9="","",$B$18*D9+$B$19),"")</f>
        <v/>
      </c>
      <c r="F9" s="8" t="str">
        <f aca="false">IFERROR(IF(OR(D9="",C9=""),"",ABS(E9-C9)/C9*100),"")</f>
        <v/>
      </c>
    </row>
    <row r="10" customFormat="false" ht="15" hidden="false" customHeight="true" outlineLevel="0" collapsed="false">
      <c r="A10" s="6" t="n">
        <v>5</v>
      </c>
      <c r="B10" s="9"/>
      <c r="C10" s="9"/>
      <c r="D10" s="9"/>
      <c r="E10" s="8" t="str">
        <f aca="false">IFERROR(IF(D10="","",$B$18*D10+$B$19),"")</f>
        <v/>
      </c>
      <c r="F10" s="8" t="str">
        <f aca="false">IFERROR(IF(OR(D10="",C10=""),"",ABS(E10-C10)/C10*100),"")</f>
        <v/>
      </c>
    </row>
    <row r="11" customFormat="false" ht="15" hidden="false" customHeight="true" outlineLevel="0" collapsed="false">
      <c r="A11" s="6" t="n">
        <v>6</v>
      </c>
      <c r="B11" s="9"/>
      <c r="C11" s="9"/>
      <c r="D11" s="9"/>
      <c r="E11" s="8" t="str">
        <f aca="false">IFERROR(IF(D11="","",$B$18*D11+$B$19),"")</f>
        <v/>
      </c>
      <c r="F11" s="8" t="str">
        <f aca="false">IFERROR(IF(OR(D11="",C11=""),"",ABS(E11-C11)/C11*100),"")</f>
        <v/>
      </c>
    </row>
    <row r="12" customFormat="false" ht="15" hidden="false" customHeight="true" outlineLevel="0" collapsed="false">
      <c r="A12" s="6" t="n">
        <v>7</v>
      </c>
      <c r="B12" s="9"/>
      <c r="C12" s="9"/>
      <c r="D12" s="9"/>
      <c r="E12" s="8" t="str">
        <f aca="false">IFERROR(IF(D12="","",$B$18*D12+$B$19),"")</f>
        <v/>
      </c>
      <c r="F12" s="8" t="str">
        <f aca="false">IFERROR(IF(OR(D12="",C12=""),"",ABS(E12-C12)/C12*100),"")</f>
        <v/>
      </c>
    </row>
    <row r="13" customFormat="false" ht="15" hidden="false" customHeight="true" outlineLevel="0" collapsed="false">
      <c r="A13" s="6" t="n">
        <v>8</v>
      </c>
      <c r="B13" s="9"/>
      <c r="C13" s="9"/>
      <c r="D13" s="9"/>
      <c r="E13" s="8" t="str">
        <f aca="false">IFERROR(IF(D13="","",$B$18*D13+$B$19),"")</f>
        <v/>
      </c>
      <c r="F13" s="8" t="str">
        <f aca="false">IFERROR(IF(OR(D13="",C13=""),"",ABS(E13-C13)/C13*100),"")</f>
        <v/>
      </c>
    </row>
    <row r="14" customFormat="false" ht="15" hidden="false" customHeight="true" outlineLevel="0" collapsed="false">
      <c r="A14" s="6" t="n">
        <v>9</v>
      </c>
      <c r="B14" s="9"/>
      <c r="C14" s="9"/>
      <c r="D14" s="9"/>
      <c r="E14" s="8" t="str">
        <f aca="false">IFERROR(IF(D14="","",$B$18*D14+$B$19),"")</f>
        <v/>
      </c>
      <c r="F14" s="8" t="str">
        <f aca="false">IFERROR(IF(OR(D14="",C14=""),"",ABS(E14-C14)/C14*100),"")</f>
        <v/>
      </c>
    </row>
    <row r="15" customFormat="false" ht="15" hidden="false" customHeight="true" outlineLevel="0" collapsed="false">
      <c r="A15" s="6" t="n">
        <v>10</v>
      </c>
      <c r="B15" s="9"/>
      <c r="C15" s="9"/>
      <c r="D15" s="9"/>
      <c r="E15" s="8" t="str">
        <f aca="false">IFERROR(IF(D15="","",$B$18*D15+$B$19),"")</f>
        <v/>
      </c>
      <c r="F15" s="8" t="str">
        <f aca="false">IFERROR(IF(OR(D15="",C15=""),"",ABS(E15-C15)/C15*100),"")</f>
        <v/>
      </c>
    </row>
    <row r="16" customFormat="false" ht="15" hidden="false" customHeight="true" outlineLevel="0" collapsed="false">
      <c r="A16" s="3" t="s">
        <v>9</v>
      </c>
      <c r="B16" s="3"/>
      <c r="C16" s="3"/>
      <c r="D16" s="3"/>
      <c r="E16" s="3"/>
      <c r="F16" s="3"/>
    </row>
    <row r="17" customFormat="false" ht="15" hidden="false" customHeight="true" outlineLevel="0" collapsed="false">
      <c r="A17" s="10" t="s">
        <v>10</v>
      </c>
      <c r="B17" s="10"/>
    </row>
    <row r="18" customFormat="false" ht="15" hidden="false" customHeight="true" outlineLevel="0" collapsed="false">
      <c r="A18" s="11" t="s">
        <v>11</v>
      </c>
      <c r="B18" s="12" t="str">
        <f aca="false">IFERROR(SLOPE(C6:C15,D6:D15),"(perlu ≥2 titik data)")</f>
        <v>(perlu ≥2 titik data)</v>
      </c>
    </row>
    <row r="19" customFormat="false" ht="15" hidden="false" customHeight="true" outlineLevel="0" collapsed="false">
      <c r="A19" s="11" t="s">
        <v>12</v>
      </c>
      <c r="B19" s="12" t="str">
        <f aca="false">IFERROR(INTERCEPT(C6:C15,D6:D15),"(perlu ≥2 titik data)")</f>
        <v>(perlu ≥2 titik data)</v>
      </c>
    </row>
    <row r="20" customFormat="false" ht="15" hidden="false" customHeight="true" outlineLevel="0" collapsed="false">
      <c r="A20" s="11" t="s">
        <v>13</v>
      </c>
      <c r="B20" s="13" t="str">
        <f aca="false">IFERROR(RSQ(C6:C15,D6:D15),"(perlu ≥2 titik data)")</f>
        <v>(perlu ≥2 titik data)</v>
      </c>
    </row>
    <row r="21" customFormat="false" ht="15" hidden="false" customHeight="true" outlineLevel="0" collapsed="false">
      <c r="A21" s="11" t="s">
        <v>14</v>
      </c>
      <c r="B21" s="14" t="str">
        <f aca="false">IFERROR(AVERAGE(F6:F15),"(belum ada data)")</f>
        <v>(belum ada data)</v>
      </c>
    </row>
    <row r="22" customFormat="false" ht="15" hidden="false" customHeight="true" outlineLevel="0" collapsed="false">
      <c r="A22" s="11" t="s">
        <v>15</v>
      </c>
      <c r="B22" s="14" t="n">
        <f aca="false">IFERROR(MAX(F6:F15),"(belum ada data)")</f>
        <v>0</v>
      </c>
    </row>
    <row r="24" customFormat="false" ht="15" hidden="false" customHeight="true" outlineLevel="0" collapsed="false">
      <c r="A24" s="3" t="s">
        <v>16</v>
      </c>
      <c r="B24" s="3"/>
      <c r="C24" s="3"/>
      <c r="D24" s="3"/>
      <c r="E24" s="3"/>
      <c r="F24" s="3"/>
    </row>
  </sheetData>
  <mergeCells count="6">
    <mergeCell ref="A1:F1"/>
    <mergeCell ref="A2:F2"/>
    <mergeCell ref="A3:F3"/>
    <mergeCell ref="A16:F16"/>
    <mergeCell ref="A17:B17"/>
    <mergeCell ref="A24:F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2026-08-31T23:05:15Z</dcterms:created>
  <dc:creator>openpyxl</dc:creator>
  <dc:description/>
  <dc:language>en-US</dc:language>
  <cp:lastModifiedBy/>
  <dcterms:modified xsi:type="dcterms:W3CDTF">2026-08-31T23:05:32Z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